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ali Tablo Modülü " sheetId="5" r:id="rId1"/>
    <sheet name=" Ana Sayfa depo modülü" sheetId="1" r:id="rId2"/>
    <sheet name="Malzeme Girişleri modülü " sheetId="2" r:id="rId3"/>
    <sheet name=" Günlük Depo çıkış formu" sheetId="3" r:id="rId4"/>
    <sheet name="haftalık malze talep modülü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3" l="1"/>
  <c r="F13" i="3" s="1"/>
  <c r="F25" i="3" s="1"/>
  <c r="G4" i="1"/>
  <c r="I4" i="1"/>
  <c r="J4" i="1" s="1"/>
  <c r="G3" i="2"/>
</calcChain>
</file>

<file path=xl/sharedStrings.xml><?xml version="1.0" encoding="utf-8"?>
<sst xmlns="http://schemas.openxmlformats.org/spreadsheetml/2006/main" count="133" uniqueCount="110">
  <si>
    <t xml:space="preserve">Geçen Yıldan Devir </t>
  </si>
  <si>
    <t xml:space="preserve">Malzeme adı </t>
  </si>
  <si>
    <t xml:space="preserve">ölçü </t>
  </si>
  <si>
    <t xml:space="preserve">Miktar </t>
  </si>
  <si>
    <t xml:space="preserve">Sıra No: </t>
  </si>
  <si>
    <t>et</t>
  </si>
  <si>
    <t>Kg</t>
  </si>
  <si>
    <t>Devir ve Alınan Malz. Toplamı</t>
  </si>
  <si>
    <t xml:space="preserve">Depodan Çıkan </t>
  </si>
  <si>
    <t xml:space="preserve">ANA SAYFA DEPO TOPLAM TUTARLARI </t>
  </si>
  <si>
    <t>Stok Durumu (Dinamik gösterge ve Yüzdelik)</t>
  </si>
  <si>
    <t>Depoda Kalan Miktar</t>
  </si>
  <si>
    <t>Malzme Adı</t>
  </si>
  <si>
    <t>ölçü</t>
  </si>
  <si>
    <t>miktar</t>
  </si>
  <si>
    <t xml:space="preserve">Birim Fiyatı </t>
  </si>
  <si>
    <t xml:space="preserve">Tutarı </t>
  </si>
  <si>
    <t>işin adı</t>
  </si>
  <si>
    <t xml:space="preserve">Alım Şekli </t>
  </si>
  <si>
    <t>Alım Türü</t>
  </si>
  <si>
    <t>Bütçe Adı</t>
  </si>
  <si>
    <t xml:space="preserve"> Firma Adı </t>
  </si>
  <si>
    <t xml:space="preserve">Fatura Tarihi </t>
  </si>
  <si>
    <t>Alım Yapılan Birim</t>
  </si>
  <si>
    <t xml:space="preserve"> NOT: Sıfır (0 ) başlangınç noktası kabul edileçek pozitif ve nefagif ayrımı yapabilmeli (Örnek: depodan kalan malzemeleri listele veya bitenleri liste) </t>
  </si>
  <si>
    <t>Et</t>
  </si>
  <si>
    <t xml:space="preserve">Beslenme </t>
  </si>
  <si>
    <t>19. mad/ 21 (f) / 22 d</t>
  </si>
  <si>
    <t>Mal/ Hizmet/ Bakım Onarım</t>
  </si>
  <si>
    <t>SGDB/ Memurlar</t>
  </si>
  <si>
    <t>A firması</t>
  </si>
  <si>
    <t xml:space="preserve">Sosyal Tesisler/ Kültürel Hizmetler/ Spor Şube </t>
  </si>
  <si>
    <t>Ödenen tutar (KDV Dahil)</t>
  </si>
  <si>
    <t>Yıl İçinde Alınan Miktar  (ihale Üsulü 19. Mad.veya 2 (f) bendi)</t>
  </si>
  <si>
    <t>Notlar 1: Alım Şekli (G) sutunundaki alım usulüne göre Depo Ana Sayfasındaki E ve F Sutunlarına aktarma yapsın</t>
  </si>
  <si>
    <t>2: Boş bırakılan sutunlar için kaydet esnasında uyarı versin bütün sutunlardaki veri girişleri yapılsın</t>
  </si>
  <si>
    <t xml:space="preserve">3: L sutundaki ödenen tutar kısımı için depo günlük çıkışı modülündeki tutarları aktarsın </t>
  </si>
  <si>
    <t>Devir sutunundaki verileri bir önceki yıldan ototmatik devrini yapsın</t>
  </si>
  <si>
    <t>E- ve F Sutundaki verileri malzeme giriş modulünden alsın</t>
  </si>
  <si>
    <t>Yıl içinde alınan 22(d) Bendi</t>
  </si>
  <si>
    <t>S.NO</t>
  </si>
  <si>
    <t>MALZEME ADI</t>
  </si>
  <si>
    <t>ÖLÇÜ</t>
  </si>
  <si>
    <t>DEPO ÇIKIŞ MİKTARI</t>
  </si>
  <si>
    <t>BİRİM FİYATI</t>
  </si>
  <si>
    <t>TUTARI KDV Dahil</t>
  </si>
  <si>
    <t>Doküman No</t>
  </si>
  <si>
    <t>İNÜ-KYS-FRM-637</t>
  </si>
  <si>
    <t>Yayın Tarihi</t>
  </si>
  <si>
    <t>Revizyon No</t>
  </si>
  <si>
    <t>Revizyon Tarihi</t>
  </si>
  <si>
    <t>Sayfa No</t>
  </si>
  <si>
    <t xml:space="preserve">        DEPO GÜNLÜK ÇIKIŞ ve MALİYET  FORMU </t>
  </si>
  <si>
    <t>Yemek Menüsü</t>
  </si>
  <si>
    <t xml:space="preserve">ET Sote </t>
  </si>
  <si>
    <t>Bulgur Pilavı</t>
  </si>
  <si>
    <t>Ayran</t>
  </si>
  <si>
    <t xml:space="preserve">Salata </t>
  </si>
  <si>
    <t>kg</t>
  </si>
  <si>
    <t>Tarih: 01.01.2025</t>
  </si>
  <si>
    <t>1/1</t>
  </si>
  <si>
    <t>Günlük Çıkış Tutarı</t>
  </si>
  <si>
    <t xml:space="preserve">Açıklma </t>
  </si>
  <si>
    <t>Teslim ALAN</t>
  </si>
  <si>
    <t xml:space="preserve">Teslim EDEN </t>
  </si>
  <si>
    <t>MEVCUT</t>
  </si>
  <si>
    <t>Malzeme Adı teker teker veya toplu sekilde seçildiğinde  ölçü, birim fiyatı otomatik bir şekilde yansıtılacak</t>
  </si>
  <si>
    <t>depocu</t>
  </si>
  <si>
    <t>aşçıbaşı</t>
  </si>
  <si>
    <t>imza</t>
  </si>
  <si>
    <t xml:space="preserve">Notlar Aşçıbaşı mevcut kişi sayısına göre günlük depo çıkışı talebi oluşturacak. </t>
  </si>
  <si>
    <t>Örnek tablo</t>
  </si>
  <si>
    <t>malzeme adı</t>
  </si>
  <si>
    <t>birim fiyatı</t>
  </si>
  <si>
    <t xml:space="preserve">4: Her sutun için ayrı ayrı raporlama imkanı versin hatta  belli ürünler  belirlenecek sutunlar için  raporlama imkanı versin </t>
  </si>
  <si>
    <t>aylık çıkış miktarı</t>
  </si>
  <si>
    <t>malzeme takip aylık</t>
  </si>
  <si>
    <t>yıl içinde aynı üründen 2,3 defa veya daha fazla alım yapılıyor bunu nasıl çözüm üretebiliriz (istişare)</t>
  </si>
  <si>
    <t xml:space="preserve">Günlük depo çıkışı (D sutunu) miktarı  Ana sayfa depo modülünde  G sutundaki verilerler beraber çalışacak. Yani G sutununda yeterli miktar yoksa çıkışa izni vermesin veya uyarsın </t>
  </si>
  <si>
    <t>Birim fiyatları malzeme giriş modülündeki E sutununda alacak (aylık fiyat listesi günlük depo listesi ile beraber giderse daha sağlıklı olmaz mı istişare edelim) nedeni yıl bazında aynı ürün için farklı laımların yapılması</t>
  </si>
  <si>
    <t>Günlük çıkış tutarı ile günlük satılan fiş sayıları (utaritten alınacak) maliyet günlük ,aylık ve yıllık hesaplanabilsin / önceki excellde vardı örneği)</t>
  </si>
  <si>
    <t>Talep Edilen Malzeme</t>
  </si>
  <si>
    <t>Miktar</t>
  </si>
  <si>
    <t>Firma Adı</t>
  </si>
  <si>
    <t>Teslim Tarihi</t>
  </si>
  <si>
    <t>tavuk</t>
  </si>
  <si>
    <t>Bulgur</t>
  </si>
  <si>
    <t xml:space="preserve"> Ayçiçek Yağı</t>
  </si>
  <si>
    <t>limon</t>
  </si>
  <si>
    <t>KG.</t>
  </si>
  <si>
    <t>Lt</t>
  </si>
  <si>
    <t>Kg.</t>
  </si>
  <si>
    <t>Adı Soyadı</t>
  </si>
  <si>
    <t>İmza</t>
  </si>
  <si>
    <t xml:space="preserve">Sipariş veren </t>
  </si>
  <si>
    <t xml:space="preserve">Onaylayan </t>
  </si>
  <si>
    <t xml:space="preserve">         HAFTALIK MALZEME TALEP</t>
  </si>
  <si>
    <t>2- toplu veya teker teker seçim yapalabilsin, farklı kalemlerin aynı firmada olması halinde grup şeklinde gruplandırsın.</t>
  </si>
  <si>
    <t>a firması</t>
  </si>
  <si>
    <t>b firması</t>
  </si>
  <si>
    <t xml:space="preserve">Notlar 1-  haftalık sipariş verirken Ana Sayfa Depo Modülündeki eğer ihale usulu ise E Stunudaki veriyi, doğruda temin ise F sutundaki veriyi baz alsın ve yeterli sayıda yoksa uyarı versin </t>
  </si>
  <si>
    <t>3-ihale mi veya doğrudan temin mi belirtebilirmiyiz ) isttişare)</t>
  </si>
  <si>
    <t>Stok durumun için sonradan belirenecek miktar baz alınarak renklendirme ve uyarı versin</t>
  </si>
  <si>
    <t xml:space="preserve">1 aylık günlük depo çıkış verilerin toplamı önceki excelde var </t>
  </si>
  <si>
    <t>% 20 artış var mı</t>
  </si>
  <si>
    <t>Sıra no</t>
  </si>
  <si>
    <t>ÖNCEKİ EXCELLDE VAR</t>
  </si>
  <si>
    <t>Depodan Çıkan Miktar H sutunu verilerini Günlük Depo Çıkışı modülünü D sutundaki veri alacak veya aynı modüldeki, (örnek tablodaki günlük Depo Çıkış Modülü) aylık çıkış verilerinden mi alsın (istişare)</t>
  </si>
  <si>
    <t>Kalite Standart üst başlık ve alt başlık çıktılarda gözükecek</t>
  </si>
  <si>
    <t>başlıklar sonra yüklenecektir.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</si>
</sst>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1"/>
      <color theme="7"/>
      <name val="Playbill"/>
      <family val="5"/>
    </font>
    <font>
      <b/>
      <sz val="8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4" fontId="0" fillId="0" borderId="1" xfId="0" applyNumberFormat="1" applyBorder="1"/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9" xfId="0" applyBorder="1"/>
    <xf numFmtId="0" fontId="0" fillId="0" borderId="0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6" fillId="0" borderId="9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3" xfId="0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vertical="center"/>
    </xf>
    <xf numFmtId="9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6" fillId="0" borderId="0" xfId="0" applyFont="1" applyBorder="1" applyAlignment="1">
      <alignment vertical="center" wrapText="1"/>
    </xf>
    <xf numFmtId="49" fontId="5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385193</xdr:colOff>
      <xdr:row>4</xdr:row>
      <xdr:rowOff>0</xdr:rowOff>
    </xdr:to>
    <xdr:pic>
      <xdr:nvPicPr>
        <xdr:cNvPr id="7" name="Resim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636653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1</xdr:col>
      <xdr:colOff>385193</xdr:colOff>
      <xdr:row>4</xdr:row>
      <xdr:rowOff>22860</xdr:rowOff>
    </xdr:to>
    <xdr:pic>
      <xdr:nvPicPr>
        <xdr:cNvPr id="4" name="Resim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"/>
          <a:ext cx="994793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2" sqref="B2"/>
    </sheetView>
  </sheetViews>
  <sheetFormatPr defaultRowHeight="14.4" x14ac:dyDescent="0.3"/>
  <sheetData>
    <row r="2" spans="2:2" x14ac:dyDescent="0.3">
      <c r="B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G22" sqref="G22"/>
    </sheetView>
  </sheetViews>
  <sheetFormatPr defaultRowHeight="14.4" x14ac:dyDescent="0.3"/>
  <cols>
    <col min="1" max="1" width="4.88671875" customWidth="1"/>
    <col min="2" max="2" width="12.6640625" customWidth="1"/>
    <col min="5" max="5" width="20.21875" customWidth="1"/>
    <col min="6" max="6" width="14.88671875" customWidth="1"/>
    <col min="7" max="7" width="14.44140625" customWidth="1"/>
    <col min="8" max="8" width="12.5546875" customWidth="1"/>
    <col min="9" max="9" width="14.6640625" customWidth="1"/>
    <col min="10" max="10" width="27.21875" customWidth="1"/>
  </cols>
  <sheetData>
    <row r="1" spans="1:10" x14ac:dyDescent="0.3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10" ht="14.4" customHeight="1" x14ac:dyDescent="0.3">
      <c r="A2" s="15"/>
      <c r="B2" s="16" t="s">
        <v>0</v>
      </c>
      <c r="C2" s="16"/>
      <c r="D2" s="16"/>
      <c r="E2" s="16" t="s">
        <v>33</v>
      </c>
      <c r="F2" s="17" t="s">
        <v>39</v>
      </c>
      <c r="G2" s="16" t="s">
        <v>7</v>
      </c>
      <c r="H2" s="16" t="s">
        <v>8</v>
      </c>
      <c r="I2" s="16" t="s">
        <v>11</v>
      </c>
      <c r="J2" s="18" t="s">
        <v>10</v>
      </c>
    </row>
    <row r="3" spans="1:10" ht="47.4" customHeight="1" x14ac:dyDescent="0.3">
      <c r="A3" s="14" t="s">
        <v>4</v>
      </c>
      <c r="B3" s="14" t="s">
        <v>1</v>
      </c>
      <c r="C3" s="14" t="s">
        <v>2</v>
      </c>
      <c r="D3" s="14" t="s">
        <v>3</v>
      </c>
      <c r="E3" s="16"/>
      <c r="F3" s="19"/>
      <c r="G3" s="16"/>
      <c r="H3" s="16"/>
      <c r="I3" s="16"/>
      <c r="J3" s="20"/>
    </row>
    <row r="4" spans="1:10" x14ac:dyDescent="0.3">
      <c r="A4" s="5">
        <v>1</v>
      </c>
      <c r="B4" s="5" t="s">
        <v>5</v>
      </c>
      <c r="C4" s="5" t="s">
        <v>6</v>
      </c>
      <c r="D4" s="5">
        <v>200</v>
      </c>
      <c r="E4" s="5">
        <v>200</v>
      </c>
      <c r="F4" s="5">
        <v>100</v>
      </c>
      <c r="G4" s="5">
        <f>SUM(D4,E4,F4)</f>
        <v>500</v>
      </c>
      <c r="H4" s="5">
        <v>400</v>
      </c>
      <c r="I4" s="5">
        <f>G4-H4</f>
        <v>100</v>
      </c>
      <c r="J4" s="6" t="str">
        <f>REPT("|",I4*100/100)</f>
        <v>||||||||||||||||||||||||||||||||||||||||||||||||||||||||||||||||||||||||||||||||||||||||||||||||||||</v>
      </c>
    </row>
    <row r="8" spans="1:10" x14ac:dyDescent="0.3">
      <c r="B8" t="s">
        <v>24</v>
      </c>
    </row>
    <row r="9" spans="1:10" x14ac:dyDescent="0.3">
      <c r="B9" t="s">
        <v>37</v>
      </c>
    </row>
    <row r="10" spans="1:10" x14ac:dyDescent="0.3">
      <c r="B10" t="s">
        <v>38</v>
      </c>
      <c r="J10" s="1"/>
    </row>
    <row r="11" spans="1:10" x14ac:dyDescent="0.3">
      <c r="B11" t="s">
        <v>102</v>
      </c>
    </row>
    <row r="12" spans="1:10" x14ac:dyDescent="0.3">
      <c r="B12" t="s">
        <v>107</v>
      </c>
    </row>
  </sheetData>
  <mergeCells count="8">
    <mergeCell ref="J2:J3"/>
    <mergeCell ref="F2:F3"/>
    <mergeCell ref="B2:D2"/>
    <mergeCell ref="E2:E3"/>
    <mergeCell ref="G2:G3"/>
    <mergeCell ref="H2:H3"/>
    <mergeCell ref="I2:I3"/>
    <mergeCell ref="A1:I1"/>
  </mergeCells>
  <conditionalFormatting sqref="J4">
    <cfRule type="expression" dxfId="0" priority="1">
      <formula>$C3&lt;0.3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workbookViewId="0">
      <selection activeCell="H1" sqref="H1:H1048576"/>
    </sheetView>
  </sheetViews>
  <sheetFormatPr defaultRowHeight="14.4" x14ac:dyDescent="0.3"/>
  <cols>
    <col min="1" max="1" width="4.44140625" customWidth="1"/>
    <col min="2" max="2" width="11.6640625" customWidth="1"/>
    <col min="3" max="3" width="5.77734375" customWidth="1"/>
    <col min="4" max="5" width="7" customWidth="1"/>
    <col min="6" max="6" width="10.44140625" customWidth="1"/>
    <col min="7" max="7" width="10" bestFit="1" customWidth="1"/>
    <col min="9" max="9" width="12" customWidth="1"/>
    <col min="11" max="11" width="11.5546875" customWidth="1"/>
    <col min="12" max="12" width="9.109375" bestFit="1" customWidth="1"/>
    <col min="13" max="13" width="9.109375" customWidth="1"/>
    <col min="14" max="14" width="12.33203125" customWidth="1"/>
    <col min="15" max="15" width="13.6640625" customWidth="1"/>
  </cols>
  <sheetData>
    <row r="2" spans="1:15" ht="57.6" x14ac:dyDescent="0.3">
      <c r="A2" s="14" t="s">
        <v>105</v>
      </c>
      <c r="B2" s="77" t="s">
        <v>12</v>
      </c>
      <c r="C2" s="77" t="s">
        <v>13</v>
      </c>
      <c r="D2" s="77" t="s">
        <v>14</v>
      </c>
      <c r="E2" s="78" t="s">
        <v>104</v>
      </c>
      <c r="F2" s="77" t="s">
        <v>15</v>
      </c>
      <c r="G2" s="77" t="s">
        <v>16</v>
      </c>
      <c r="H2" s="77" t="s">
        <v>18</v>
      </c>
      <c r="I2" s="77" t="s">
        <v>19</v>
      </c>
      <c r="J2" s="77" t="s">
        <v>20</v>
      </c>
      <c r="K2" s="77" t="s">
        <v>21</v>
      </c>
      <c r="L2" s="79" t="s">
        <v>22</v>
      </c>
      <c r="M2" s="79" t="s">
        <v>32</v>
      </c>
      <c r="N2" s="77" t="s">
        <v>17</v>
      </c>
      <c r="O2" s="79" t="s">
        <v>23</v>
      </c>
    </row>
    <row r="3" spans="1:15" ht="57.6" x14ac:dyDescent="0.3">
      <c r="A3" s="7">
        <v>1</v>
      </c>
      <c r="B3" s="12" t="s">
        <v>25</v>
      </c>
      <c r="C3" s="12" t="s">
        <v>6</v>
      </c>
      <c r="D3" s="12">
        <v>200</v>
      </c>
      <c r="E3" s="12"/>
      <c r="F3" s="13">
        <v>100</v>
      </c>
      <c r="G3" s="11">
        <f>D3*F3</f>
        <v>20000</v>
      </c>
      <c r="H3" s="8" t="s">
        <v>27</v>
      </c>
      <c r="I3" s="9" t="s">
        <v>28</v>
      </c>
      <c r="J3" s="9" t="s">
        <v>29</v>
      </c>
      <c r="K3" s="7" t="s">
        <v>30</v>
      </c>
      <c r="L3" s="10">
        <v>45931</v>
      </c>
      <c r="M3" s="11">
        <v>2000</v>
      </c>
      <c r="N3" s="7" t="s">
        <v>26</v>
      </c>
      <c r="O3" s="9" t="s">
        <v>31</v>
      </c>
    </row>
    <row r="7" spans="1:15" x14ac:dyDescent="0.3">
      <c r="B7" t="s">
        <v>34</v>
      </c>
    </row>
    <row r="8" spans="1:15" x14ac:dyDescent="0.3">
      <c r="B8" t="s">
        <v>35</v>
      </c>
    </row>
    <row r="9" spans="1:15" x14ac:dyDescent="0.3">
      <c r="B9" s="21" t="s">
        <v>36</v>
      </c>
    </row>
    <row r="10" spans="1:15" x14ac:dyDescent="0.3">
      <c r="B10" t="s">
        <v>74</v>
      </c>
    </row>
    <row r="14" spans="1:15" x14ac:dyDescent="0.3">
      <c r="C14" t="s">
        <v>77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opLeftCell="A16" workbookViewId="0">
      <selection activeCell="I7" sqref="I7"/>
    </sheetView>
  </sheetViews>
  <sheetFormatPr defaultRowHeight="14.4" x14ac:dyDescent="0.3"/>
  <cols>
    <col min="1" max="1" width="3.6640625" customWidth="1"/>
    <col min="2" max="2" width="17.77734375" customWidth="1"/>
    <col min="3" max="3" width="10.44140625" customWidth="1"/>
    <col min="4" max="4" width="13.21875" customWidth="1"/>
    <col min="5" max="5" width="30" customWidth="1"/>
    <col min="6" max="6" width="17.5546875" customWidth="1"/>
    <col min="8" max="8" width="15.6640625" customWidth="1"/>
    <col min="9" max="10" width="11.21875" customWidth="1"/>
    <col min="11" max="11" width="10" customWidth="1"/>
    <col min="12" max="12" width="16.33203125" customWidth="1"/>
  </cols>
  <sheetData>
    <row r="1" spans="1:7" ht="12.6" customHeight="1" x14ac:dyDescent="0.3">
      <c r="A1" s="23" t="s">
        <v>52</v>
      </c>
      <c r="B1" s="23"/>
      <c r="C1" s="23"/>
      <c r="D1" s="23"/>
      <c r="E1" s="24" t="s">
        <v>46</v>
      </c>
      <c r="F1" s="25" t="s">
        <v>47</v>
      </c>
      <c r="G1" t="s">
        <v>108</v>
      </c>
    </row>
    <row r="2" spans="1:7" ht="12.6" customHeight="1" x14ac:dyDescent="0.3">
      <c r="A2" s="23"/>
      <c r="B2" s="23"/>
      <c r="C2" s="23"/>
      <c r="D2" s="23"/>
      <c r="E2" s="24" t="s">
        <v>48</v>
      </c>
      <c r="F2" s="26">
        <v>45699</v>
      </c>
    </row>
    <row r="3" spans="1:7" ht="9" customHeight="1" x14ac:dyDescent="0.3">
      <c r="A3" s="23"/>
      <c r="B3" s="23"/>
      <c r="C3" s="23"/>
      <c r="D3" s="23"/>
      <c r="E3" s="24" t="s">
        <v>49</v>
      </c>
      <c r="F3" s="25"/>
    </row>
    <row r="4" spans="1:7" ht="9.6" customHeight="1" x14ac:dyDescent="0.3">
      <c r="A4" s="23"/>
      <c r="B4" s="23"/>
      <c r="C4" s="23"/>
      <c r="D4" s="23"/>
      <c r="E4" s="24" t="s">
        <v>50</v>
      </c>
      <c r="F4" s="25"/>
    </row>
    <row r="5" spans="1:7" ht="10.8" customHeight="1" x14ac:dyDescent="0.3">
      <c r="A5" s="23"/>
      <c r="B5" s="23"/>
      <c r="C5" s="23"/>
      <c r="D5" s="23"/>
      <c r="E5" s="24" t="s">
        <v>51</v>
      </c>
      <c r="F5" s="29" t="s">
        <v>60</v>
      </c>
    </row>
    <row r="6" spans="1:7" ht="10.8" customHeight="1" x14ac:dyDescent="0.3">
      <c r="A6" s="22"/>
      <c r="B6" s="22"/>
      <c r="C6" s="22"/>
      <c r="D6" s="22"/>
      <c r="E6" s="81"/>
      <c r="F6" s="82"/>
    </row>
    <row r="7" spans="1:7" ht="12.6" customHeight="1" x14ac:dyDescent="0.3">
      <c r="A7" s="32"/>
      <c r="B7" s="32"/>
      <c r="C7" s="32"/>
      <c r="D7" s="39" t="s">
        <v>53</v>
      </c>
      <c r="E7" s="30" t="s">
        <v>54</v>
      </c>
      <c r="F7" s="37" t="s">
        <v>59</v>
      </c>
    </row>
    <row r="8" spans="1:7" ht="11.4" customHeight="1" x14ac:dyDescent="0.3">
      <c r="A8" s="48"/>
      <c r="B8" s="48"/>
      <c r="C8" s="48"/>
      <c r="D8" s="40"/>
      <c r="E8" s="30" t="s">
        <v>55</v>
      </c>
      <c r="F8" s="38"/>
    </row>
    <row r="9" spans="1:7" ht="11.4" customHeight="1" x14ac:dyDescent="0.3">
      <c r="A9" s="48"/>
      <c r="B9" s="48"/>
      <c r="C9" s="48"/>
      <c r="D9" s="40"/>
      <c r="E9" s="30" t="s">
        <v>56</v>
      </c>
      <c r="F9" s="43" t="s">
        <v>65</v>
      </c>
    </row>
    <row r="10" spans="1:7" x14ac:dyDescent="0.3">
      <c r="A10" s="48"/>
      <c r="B10" s="48"/>
      <c r="C10" s="48"/>
      <c r="D10" s="40"/>
      <c r="E10" s="30" t="s">
        <v>57</v>
      </c>
      <c r="F10" s="44">
        <v>100</v>
      </c>
    </row>
    <row r="11" spans="1:7" x14ac:dyDescent="0.3">
      <c r="A11" s="48"/>
      <c r="B11" s="48"/>
      <c r="C11" s="48"/>
      <c r="D11" s="41"/>
      <c r="E11" s="63"/>
      <c r="F11" s="44"/>
    </row>
    <row r="12" spans="1:7" x14ac:dyDescent="0.3">
      <c r="A12" s="68" t="s">
        <v>40</v>
      </c>
      <c r="B12" s="68" t="s">
        <v>41</v>
      </c>
      <c r="C12" s="68" t="s">
        <v>42</v>
      </c>
      <c r="D12" s="69" t="s">
        <v>43</v>
      </c>
      <c r="E12" s="68" t="s">
        <v>44</v>
      </c>
      <c r="F12" s="69" t="s">
        <v>45</v>
      </c>
    </row>
    <row r="13" spans="1:7" x14ac:dyDescent="0.3">
      <c r="A13" s="3">
        <v>1</v>
      </c>
      <c r="B13" s="3" t="s">
        <v>5</v>
      </c>
      <c r="C13" s="3" t="s">
        <v>58</v>
      </c>
      <c r="D13" s="5">
        <v>100</v>
      </c>
      <c r="E13" s="42">
        <f>'Malzeme Girişleri modülü '!F3</f>
        <v>100</v>
      </c>
      <c r="F13" s="42">
        <f>D13*E13</f>
        <v>10000</v>
      </c>
    </row>
    <row r="14" spans="1:7" x14ac:dyDescent="0.3">
      <c r="A14" s="3">
        <v>2</v>
      </c>
      <c r="B14" s="3"/>
      <c r="C14" s="3"/>
      <c r="D14" s="3"/>
      <c r="E14" s="3"/>
      <c r="F14" s="3"/>
    </row>
    <row r="15" spans="1:7" x14ac:dyDescent="0.3">
      <c r="A15" s="3">
        <v>3</v>
      </c>
      <c r="B15" s="3"/>
      <c r="C15" s="3"/>
      <c r="D15" s="3"/>
      <c r="E15" s="3"/>
      <c r="F15" s="3"/>
    </row>
    <row r="16" spans="1:7" x14ac:dyDescent="0.3">
      <c r="A16" s="3">
        <v>4</v>
      </c>
      <c r="B16" s="3"/>
      <c r="C16" s="3"/>
      <c r="D16" s="3"/>
      <c r="E16" s="3"/>
      <c r="F16" s="3"/>
    </row>
    <row r="17" spans="1:12" x14ac:dyDescent="0.3">
      <c r="A17" s="3">
        <v>5</v>
      </c>
      <c r="B17" s="3"/>
      <c r="C17" s="3"/>
      <c r="D17" s="3"/>
      <c r="E17" s="3"/>
      <c r="F17" s="3"/>
    </row>
    <row r="18" spans="1:12" x14ac:dyDescent="0.3">
      <c r="A18" s="3">
        <v>6</v>
      </c>
      <c r="B18" s="3"/>
      <c r="C18" s="3"/>
      <c r="D18" s="3"/>
      <c r="E18" s="3"/>
      <c r="F18" s="3"/>
    </row>
    <row r="19" spans="1:12" x14ac:dyDescent="0.3">
      <c r="A19" s="3">
        <v>7</v>
      </c>
      <c r="B19" s="3"/>
      <c r="C19" s="3"/>
      <c r="D19" s="3"/>
      <c r="E19" s="3"/>
      <c r="F19" s="3"/>
    </row>
    <row r="20" spans="1:12" x14ac:dyDescent="0.3">
      <c r="A20" s="3">
        <v>8</v>
      </c>
      <c r="B20" s="3"/>
      <c r="C20" s="3"/>
      <c r="D20" s="3"/>
      <c r="E20" s="3"/>
      <c r="F20" s="3"/>
    </row>
    <row r="21" spans="1:12" x14ac:dyDescent="0.3">
      <c r="A21" s="3">
        <v>9</v>
      </c>
      <c r="B21" s="3"/>
      <c r="C21" s="3"/>
      <c r="D21" s="3"/>
      <c r="E21" s="3"/>
      <c r="F21" s="3"/>
    </row>
    <row r="22" spans="1:12" x14ac:dyDescent="0.3">
      <c r="A22" s="3">
        <v>10</v>
      </c>
      <c r="B22" s="3"/>
      <c r="C22" s="3"/>
      <c r="D22" s="3"/>
      <c r="E22" s="3"/>
      <c r="F22" s="3"/>
    </row>
    <row r="23" spans="1:12" x14ac:dyDescent="0.3">
      <c r="A23" s="3">
        <v>11</v>
      </c>
      <c r="B23" s="3"/>
      <c r="C23" s="3"/>
      <c r="D23" s="3"/>
      <c r="E23" s="3"/>
      <c r="F23" s="3"/>
    </row>
    <row r="24" spans="1:12" x14ac:dyDescent="0.3">
      <c r="A24" s="3">
        <v>12</v>
      </c>
      <c r="B24" s="3"/>
      <c r="C24" s="3"/>
      <c r="D24" s="3"/>
      <c r="E24" s="3"/>
      <c r="F24" s="3"/>
    </row>
    <row r="25" spans="1:12" x14ac:dyDescent="0.3">
      <c r="E25" s="3" t="s">
        <v>61</v>
      </c>
      <c r="F25" s="28">
        <f>SUM(F13:F24)</f>
        <v>10000</v>
      </c>
    </row>
    <row r="27" spans="1:12" x14ac:dyDescent="0.3">
      <c r="I27" t="s">
        <v>106</v>
      </c>
    </row>
    <row r="28" spans="1:12" x14ac:dyDescent="0.3">
      <c r="I28" s="80" t="s">
        <v>71</v>
      </c>
      <c r="J28" s="3"/>
      <c r="K28" s="3"/>
      <c r="L28" s="3" t="s">
        <v>76</v>
      </c>
    </row>
    <row r="29" spans="1:12" x14ac:dyDescent="0.3">
      <c r="A29" s="31" t="s">
        <v>62</v>
      </c>
      <c r="B29" s="32"/>
      <c r="C29" s="32"/>
      <c r="D29" s="32"/>
      <c r="E29" s="32"/>
      <c r="F29" s="33"/>
      <c r="I29" s="3" t="s">
        <v>72</v>
      </c>
      <c r="J29" s="3" t="s">
        <v>13</v>
      </c>
      <c r="K29" s="3" t="s">
        <v>73</v>
      </c>
      <c r="L29" s="4" t="s">
        <v>75</v>
      </c>
    </row>
    <row r="30" spans="1:12" x14ac:dyDescent="0.3">
      <c r="A30" s="34"/>
      <c r="B30" s="35"/>
      <c r="C30" s="35"/>
      <c r="D30" s="35"/>
      <c r="E30" s="35"/>
      <c r="F30" s="36"/>
      <c r="I30" s="3" t="s">
        <v>5</v>
      </c>
      <c r="J30" s="3" t="s">
        <v>58</v>
      </c>
      <c r="K30" s="3">
        <v>100</v>
      </c>
      <c r="L30" t="s">
        <v>103</v>
      </c>
    </row>
    <row r="32" spans="1:12" x14ac:dyDescent="0.3">
      <c r="A32" s="31"/>
      <c r="B32" s="72" t="s">
        <v>64</v>
      </c>
      <c r="C32" s="72"/>
      <c r="D32" s="72"/>
      <c r="E32" s="73" t="s">
        <v>63</v>
      </c>
      <c r="F32" s="33"/>
    </row>
    <row r="33" spans="1:6" x14ac:dyDescent="0.3">
      <c r="A33" s="70"/>
      <c r="B33" s="55" t="s">
        <v>67</v>
      </c>
      <c r="C33" s="48"/>
      <c r="D33" s="48"/>
      <c r="E33" s="74" t="s">
        <v>68</v>
      </c>
      <c r="F33" s="71"/>
    </row>
    <row r="34" spans="1:6" x14ac:dyDescent="0.3">
      <c r="A34" s="34"/>
      <c r="B34" s="76" t="s">
        <v>69</v>
      </c>
      <c r="C34" s="35"/>
      <c r="D34" s="35"/>
      <c r="E34" s="75" t="s">
        <v>69</v>
      </c>
      <c r="F34" s="36"/>
    </row>
    <row r="35" spans="1:6" x14ac:dyDescent="0.3">
      <c r="A35" t="s">
        <v>70</v>
      </c>
    </row>
    <row r="36" spans="1:6" x14ac:dyDescent="0.3">
      <c r="A36">
        <v>2</v>
      </c>
      <c r="B36" t="s">
        <v>66</v>
      </c>
    </row>
    <row r="37" spans="1:6" x14ac:dyDescent="0.3">
      <c r="A37">
        <v>3</v>
      </c>
      <c r="B37" t="s">
        <v>79</v>
      </c>
    </row>
    <row r="38" spans="1:6" x14ac:dyDescent="0.3">
      <c r="A38">
        <v>4</v>
      </c>
      <c r="B38" t="s">
        <v>78</v>
      </c>
    </row>
    <row r="39" spans="1:6" x14ac:dyDescent="0.3">
      <c r="A39">
        <v>5</v>
      </c>
      <c r="B39" t="s">
        <v>80</v>
      </c>
    </row>
  </sheetData>
  <mergeCells count="3">
    <mergeCell ref="F7:F8"/>
    <mergeCell ref="D7:D11"/>
    <mergeCell ref="A1:D5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L26" sqref="L26"/>
    </sheetView>
  </sheetViews>
  <sheetFormatPr defaultRowHeight="14.4" x14ac:dyDescent="0.3"/>
  <cols>
    <col min="2" max="2" width="16.44140625" customWidth="1"/>
    <col min="5" max="5" width="30.109375" customWidth="1"/>
    <col min="6" max="6" width="23" customWidth="1"/>
  </cols>
  <sheetData>
    <row r="1" spans="1:6" ht="10.199999999999999" customHeight="1" x14ac:dyDescent="0.3">
      <c r="A1" s="23" t="s">
        <v>96</v>
      </c>
      <c r="B1" s="23"/>
      <c r="C1" s="23"/>
      <c r="D1" s="23"/>
      <c r="E1" s="24" t="s">
        <v>46</v>
      </c>
      <c r="F1" s="25" t="s">
        <v>47</v>
      </c>
    </row>
    <row r="2" spans="1:6" ht="10.8" customHeight="1" x14ac:dyDescent="0.3">
      <c r="A2" s="23"/>
      <c r="B2" s="23"/>
      <c r="C2" s="23"/>
      <c r="D2" s="23"/>
      <c r="E2" s="24" t="s">
        <v>48</v>
      </c>
      <c r="F2" s="26">
        <v>45699</v>
      </c>
    </row>
    <row r="3" spans="1:6" ht="12" customHeight="1" x14ac:dyDescent="0.3">
      <c r="A3" s="23"/>
      <c r="B3" s="23"/>
      <c r="C3" s="23"/>
      <c r="D3" s="23"/>
      <c r="E3" s="24" t="s">
        <v>49</v>
      </c>
      <c r="F3" s="25"/>
    </row>
    <row r="4" spans="1:6" ht="13.8" customHeight="1" x14ac:dyDescent="0.3">
      <c r="A4" s="23"/>
      <c r="B4" s="23"/>
      <c r="C4" s="23"/>
      <c r="D4" s="23"/>
      <c r="E4" s="24" t="s">
        <v>50</v>
      </c>
      <c r="F4" s="25"/>
    </row>
    <row r="5" spans="1:6" ht="8.4" customHeight="1" x14ac:dyDescent="0.3">
      <c r="A5" s="23"/>
      <c r="B5" s="23"/>
      <c r="C5" s="23"/>
      <c r="D5" s="23"/>
      <c r="E5" s="24" t="s">
        <v>51</v>
      </c>
      <c r="F5" s="29" t="s">
        <v>60</v>
      </c>
    </row>
    <row r="6" spans="1:6" x14ac:dyDescent="0.3">
      <c r="D6" s="50"/>
      <c r="E6" s="27"/>
      <c r="F6" s="52"/>
    </row>
    <row r="7" spans="1:6" x14ac:dyDescent="0.3">
      <c r="D7" s="51"/>
      <c r="E7" s="27"/>
      <c r="F7" s="49"/>
    </row>
    <row r="8" spans="1:6" x14ac:dyDescent="0.3">
      <c r="A8" s="64" t="s">
        <v>40</v>
      </c>
      <c r="B8" s="64" t="s">
        <v>81</v>
      </c>
      <c r="C8" s="64" t="s">
        <v>42</v>
      </c>
      <c r="D8" s="65" t="s">
        <v>82</v>
      </c>
      <c r="E8" s="66" t="s">
        <v>83</v>
      </c>
      <c r="F8" s="67" t="s">
        <v>84</v>
      </c>
    </row>
    <row r="9" spans="1:6" x14ac:dyDescent="0.3">
      <c r="A9" s="3">
        <v>1</v>
      </c>
      <c r="B9" s="62" t="s">
        <v>5</v>
      </c>
      <c r="C9" s="5" t="s">
        <v>58</v>
      </c>
      <c r="D9" s="53">
        <v>100</v>
      </c>
      <c r="E9" s="58" t="s">
        <v>98</v>
      </c>
      <c r="F9" s="56"/>
    </row>
    <row r="10" spans="1:6" x14ac:dyDescent="0.3">
      <c r="A10" s="3">
        <v>2</v>
      </c>
      <c r="B10" s="62" t="s">
        <v>85</v>
      </c>
      <c r="C10" s="5" t="s">
        <v>58</v>
      </c>
      <c r="D10" s="53">
        <v>100</v>
      </c>
      <c r="E10" s="59" t="s">
        <v>98</v>
      </c>
      <c r="F10" s="57"/>
    </row>
    <row r="11" spans="1:6" x14ac:dyDescent="0.3">
      <c r="A11" s="48"/>
      <c r="B11" s="48"/>
      <c r="C11" s="48"/>
      <c r="D11" s="48"/>
      <c r="E11" s="35"/>
      <c r="F11" s="35"/>
    </row>
    <row r="12" spans="1:6" x14ac:dyDescent="0.3">
      <c r="A12" s="3">
        <v>1</v>
      </c>
      <c r="B12" s="3" t="s">
        <v>86</v>
      </c>
      <c r="C12" s="3" t="s">
        <v>89</v>
      </c>
      <c r="D12" s="3"/>
      <c r="E12" s="45" t="s">
        <v>99</v>
      </c>
      <c r="F12" s="60"/>
    </row>
    <row r="13" spans="1:6" x14ac:dyDescent="0.3">
      <c r="A13" s="3">
        <v>2</v>
      </c>
      <c r="B13" s="3" t="s">
        <v>87</v>
      </c>
      <c r="C13" s="3" t="s">
        <v>90</v>
      </c>
      <c r="D13" s="3"/>
      <c r="E13" s="46" t="s">
        <v>99</v>
      </c>
      <c r="F13" s="61"/>
    </row>
    <row r="14" spans="1:6" x14ac:dyDescent="0.3">
      <c r="A14" s="3">
        <v>3</v>
      </c>
      <c r="B14" s="3" t="s">
        <v>88</v>
      </c>
      <c r="C14" s="3" t="s">
        <v>91</v>
      </c>
      <c r="D14" s="3"/>
      <c r="E14" s="47" t="s">
        <v>99</v>
      </c>
      <c r="F14" s="54"/>
    </row>
    <row r="17" spans="1:6" x14ac:dyDescent="0.3">
      <c r="A17" s="31"/>
      <c r="B17" s="32" t="s">
        <v>94</v>
      </c>
      <c r="C17" s="32"/>
      <c r="D17" s="32"/>
      <c r="E17" s="32" t="s">
        <v>95</v>
      </c>
      <c r="F17" s="33"/>
    </row>
    <row r="18" spans="1:6" x14ac:dyDescent="0.3">
      <c r="A18" s="70"/>
      <c r="B18" s="48" t="s">
        <v>92</v>
      </c>
      <c r="C18" s="48"/>
      <c r="D18" s="48"/>
      <c r="E18" s="48" t="s">
        <v>92</v>
      </c>
      <c r="F18" s="71"/>
    </row>
    <row r="19" spans="1:6" x14ac:dyDescent="0.3">
      <c r="A19" s="70"/>
      <c r="B19" s="48" t="s">
        <v>93</v>
      </c>
      <c r="C19" s="48"/>
      <c r="D19" s="48"/>
      <c r="E19" s="48" t="s">
        <v>93</v>
      </c>
      <c r="F19" s="71"/>
    </row>
    <row r="20" spans="1:6" x14ac:dyDescent="0.3">
      <c r="A20" s="34"/>
      <c r="B20" s="35"/>
      <c r="C20" s="35"/>
      <c r="D20" s="35"/>
      <c r="E20" s="35"/>
      <c r="F20" s="36"/>
    </row>
    <row r="21" spans="1:6" x14ac:dyDescent="0.3">
      <c r="A21" t="s">
        <v>100</v>
      </c>
    </row>
    <row r="22" spans="1:6" x14ac:dyDescent="0.3">
      <c r="A22" t="s">
        <v>97</v>
      </c>
    </row>
    <row r="23" spans="1:6" x14ac:dyDescent="0.3">
      <c r="A23" t="s">
        <v>101</v>
      </c>
    </row>
  </sheetData>
  <mergeCells count="1">
    <mergeCell ref="A1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Mali Tablo Modülü </vt:lpstr>
      <vt:lpstr> Ana Sayfa depo modülü</vt:lpstr>
      <vt:lpstr>Malzeme Girişleri modülü </vt:lpstr>
      <vt:lpstr> Günlük Depo çıkış formu</vt:lpstr>
      <vt:lpstr>haftalık malze talep modülü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2025-03-17T12:32:42Z</dcterms:modified>
</cp:coreProperties>
</file>